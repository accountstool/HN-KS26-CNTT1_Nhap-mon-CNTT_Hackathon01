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5380"/>
  </bookViews>
  <sheets>
    <sheet name="DangKyHoc" sheetId="1" r:id="rId1"/>
    <sheet name="KhoaHoc" sheetId="2" r:id="rId2"/>
  </sheets>
  <definedNames>
    <definedName name="_xlnm._FilterDatabase" localSheetId="0" hidden="1">DangKyHoc!$A$1:$G$16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<sst xmlns="http://schemas.openxmlformats.org/spreadsheetml/2006/main" count="69" uniqueCount="51">
  <si>
    <t>ma_phieu_dk</t>
  </si>
  <si>
    <t>ngay_dk</t>
  </si>
  <si>
    <t>ma_kh</t>
  </si>
  <si>
    <t>so_hoc_vien</t>
  </si>
  <si>
    <t>ten_kh</t>
  </si>
  <si>
    <t>hoc_phi</t>
  </si>
  <si>
    <t>tong_hoc_phi</t>
  </si>
  <si>
    <t>PDK001</t>
  </si>
  <si>
    <t>2026-03-01</t>
  </si>
  <si>
    <t>TA01</t>
  </si>
  <si>
    <t>PDK002</t>
  </si>
  <si>
    <t>2026-03-02</t>
  </si>
  <si>
    <t>PDK003</t>
  </si>
  <si>
    <t>2026-03-03</t>
  </si>
  <si>
    <t>TN01</t>
  </si>
  <si>
    <t>PDK004</t>
  </si>
  <si>
    <t>2026-03-04</t>
  </si>
  <si>
    <t>TH01</t>
  </si>
  <si>
    <t>PDK005</t>
  </si>
  <si>
    <t>2026-03-05</t>
  </si>
  <si>
    <t>TE01</t>
  </si>
  <si>
    <t>PDK006</t>
  </si>
  <si>
    <t>2026-03-06</t>
  </si>
  <si>
    <t>PDK007</t>
  </si>
  <si>
    <t>2026-03-07</t>
  </si>
  <si>
    <t>PDK008</t>
  </si>
  <si>
    <t>2026-03-08</t>
  </si>
  <si>
    <t>PDK009</t>
  </si>
  <si>
    <t>2026-03-09</t>
  </si>
  <si>
    <t>TA02</t>
  </si>
  <si>
    <t>PDK010</t>
  </si>
  <si>
    <t>2026-03-10</t>
  </si>
  <si>
    <t>PDK011</t>
  </si>
  <si>
    <t>2026-03-11</t>
  </si>
  <si>
    <t>TT01</t>
  </si>
  <si>
    <t>PDK012</t>
  </si>
  <si>
    <t>2026-03-12</t>
  </si>
  <si>
    <t>PDK013</t>
  </si>
  <si>
    <t>2026-03-13</t>
  </si>
  <si>
    <t>PDK014</t>
  </si>
  <si>
    <t>2026-03-14</t>
  </si>
  <si>
    <t>TA03</t>
  </si>
  <si>
    <t>PDK015</t>
  </si>
  <si>
    <t>2026-03-15</t>
  </si>
  <si>
    <t>Tieng Anh giao tiep</t>
  </si>
  <si>
    <t>IELTS nen tang</t>
  </si>
  <si>
    <t>TOEIC 550</t>
  </si>
  <si>
    <t>Tieng Nhat N5</t>
  </si>
  <si>
    <t>Tieng Han so cap</t>
  </si>
  <si>
    <t>Tieng Trung HSK1</t>
  </si>
  <si>
    <t>Tieng Anh tre em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</si>
</sst>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1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78" fontId="1" fillId="0" borderId="0" applyFont="0" applyFill="0" applyBorder="0" applyAlignment="0" applyProtection="0">
      <alignment vertical="center"/>
    </xf>
    <xf numFmtId="179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Chung" xfId="0" builtinId="0"/>
    <cellStyle name="Dấu phân cách hàng nghìn" xfId="1" builtinId="3"/>
    <cellStyle name="Tiền tệ" xfId="2" builtinId="4"/>
    <cellStyle name="Phần trăm" xfId="3" builtinId="5"/>
    <cellStyle name="Dấu phân cách hàng nghìn [0]" xfId="4" builtinId="6"/>
    <cellStyle name="Tiền tệ[0]" xfId="5" builtinId="7"/>
    <cellStyle name="Siêu liên kết" xfId="6" builtinId="8"/>
    <cellStyle name="Siêu liên kết đã truy cập" xfId="7" builtinId="9"/>
    <cellStyle name="Chú thích" xfId="8" builtinId="10"/>
    <cellStyle name="Văn bản cảnh báo" xfId="9" builtinId="11"/>
    <cellStyle name="Tiêu đề" xfId="10" builtinId="15"/>
    <cellStyle name="Văn bản giải thích" xfId="11" builtinId="53"/>
    <cellStyle name="Tiêu đề 1" xfId="12" builtinId="16"/>
    <cellStyle name="Tiêu đề 2" xfId="13" builtinId="17"/>
    <cellStyle name="Tiêu đề 3" xfId="14" builtinId="18"/>
    <cellStyle name="Tiêu đề 4" xfId="15" builtinId="19"/>
    <cellStyle name="Nhập" xfId="16" builtinId="20"/>
    <cellStyle name="Xuất" xfId="17" builtinId="21"/>
    <cellStyle name="Tính toán" xfId="18" builtinId="22"/>
    <cellStyle name="Kiểm tra ô" xfId="19" builtinId="23"/>
    <cellStyle name="Ô được liên kết" xfId="20" builtinId="24"/>
    <cellStyle name="Tổng hợp" xfId="21" builtinId="25"/>
    <cellStyle name="Đồng ý" xfId="22" builtinId="26"/>
    <cellStyle name="Kém" xfId="23" builtinId="27"/>
    <cellStyle name="Trung bình" xfId="24" builtinId="28"/>
    <cellStyle name="Màu nhấn 1" xfId="25" builtinId="29"/>
    <cellStyle name="20% - Màu nhấn 1" xfId="26" builtinId="30"/>
    <cellStyle name="40% - Màu nhấn 1" xfId="27" builtinId="31"/>
    <cellStyle name="60% - Màu nhấn 1" xfId="28" builtinId="32"/>
    <cellStyle name="Màu nhấn 2" xfId="29" builtinId="33"/>
    <cellStyle name="20% - Màu nhấn 2" xfId="30" builtinId="34"/>
    <cellStyle name="40% - Màu nhấn 2" xfId="31" builtinId="35"/>
    <cellStyle name="60% - Màu nhấn 2" xfId="32" builtinId="36"/>
    <cellStyle name="Màu nhấn 3" xfId="33" builtinId="37"/>
    <cellStyle name="20% - Màu nhấn 3" xfId="34" builtinId="38"/>
    <cellStyle name="40% - Màu nhấn 3" xfId="35" builtinId="39"/>
    <cellStyle name="60% - Màu nhấn 3" xfId="36" builtinId="40"/>
    <cellStyle name="Màu nhấn 4" xfId="37" builtinId="41"/>
    <cellStyle name="20% - Màu nhấn 4" xfId="38" builtinId="42"/>
    <cellStyle name="40% - Màu nhấn 4" xfId="39" builtinId="43"/>
    <cellStyle name="60% - Màu nhấn 4" xfId="40" builtinId="44"/>
    <cellStyle name="Màu nhấn 5" xfId="41" builtinId="45"/>
    <cellStyle name="20% - Màu nhấn 5" xfId="42" builtinId="46"/>
    <cellStyle name="40% - Màu nhấn 5" xfId="43" builtinId="47"/>
    <cellStyle name="60% - Màu nhấn 5" xfId="44" builtinId="48"/>
    <cellStyle name="Màu nhấn 6" xfId="45" builtinId="49"/>
    <cellStyle name="20% - Màu nhấn 6" xfId="46" builtinId="50"/>
    <cellStyle name="40% - Màu nhấn 6" xfId="47" builtinId="51"/>
    <cellStyle name="60% - Màu nhấn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G16"/>
  <sheetViews>
    <sheetView tabSelected="1" workbookViewId="0">
      <selection activeCell="I32" sqref="I32"/>
    </sheetView>
  </sheetViews>
  <sheetFormatPr defaultColWidth="9" defaultRowHeight="16.8" outlineLevelCol="6"/>
  <cols>
    <col min="1" max="4" width="15" customWidth="1"/>
    <col min="5" max="5" width="18.140625" customWidth="1"/>
    <col min="6" max="7" width="1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hidden="1" spans="1:7">
      <c r="A2" t="s">
        <v>7</v>
      </c>
      <c r="B2" t="s">
        <v>8</v>
      </c>
      <c r="C2" t="s">
        <v>9</v>
      </c>
      <c r="D2">
        <v>1</v>
      </c>
      <c r="E2" t="str" cm="1">
        <f t="array" ref="E2:E16">VLOOKUP(C2:C16,KhoaHoc!A2:B8,2,FALSE)</f>
        <v>Tieng Anh giao tiep</v>
      </c>
      <c r="F2" cm="1">
        <f t="array" ref="F2:F16">VLOOKUP(C2:C16,KhoaHoc!A2:C8,3,FALSE)</f>
        <v>2500000</v>
      </c>
      <c r="G2">
        <f>D2*F2</f>
        <v>2500000</v>
      </c>
    </row>
    <row r="3" spans="1:7">
      <c r="A3" t="s">
        <v>10</v>
      </c>
      <c r="B3" t="s">
        <v>11</v>
      </c>
      <c r="C3" t="s">
        <v>9</v>
      </c>
      <c r="D3">
        <v>5</v>
      </c>
      <c r="E3" t="str">
        <v>Tieng Anh giao tiep</v>
      </c>
      <c r="F3">
        <v>2500000</v>
      </c>
      <c r="G3">
        <f t="shared" ref="G3:G16" si="0">D3*F3</f>
        <v>12500000</v>
      </c>
    </row>
    <row r="4" spans="1:7">
      <c r="A4" t="s">
        <v>12</v>
      </c>
      <c r="B4" t="s">
        <v>13</v>
      </c>
      <c r="C4" t="s">
        <v>14</v>
      </c>
      <c r="D4">
        <v>5</v>
      </c>
      <c r="E4" t="str">
        <v>Tieng Nhat N5</v>
      </c>
      <c r="F4">
        <v>3500000</v>
      </c>
      <c r="G4">
        <f t="shared" si="0"/>
        <v>17500000</v>
      </c>
    </row>
    <row r="5" spans="1:7">
      <c r="A5" t="s">
        <v>15</v>
      </c>
      <c r="B5" t="s">
        <v>16</v>
      </c>
      <c r="C5" t="s">
        <v>17</v>
      </c>
      <c r="D5">
        <v>3</v>
      </c>
      <c r="E5" t="str">
        <v>Tieng Han so cap</v>
      </c>
      <c r="F5">
        <v>3200000</v>
      </c>
      <c r="G5">
        <f t="shared" si="0"/>
        <v>9600000</v>
      </c>
    </row>
    <row r="6" hidden="1" spans="1:7">
      <c r="A6" t="s">
        <v>18</v>
      </c>
      <c r="B6" t="s">
        <v>19</v>
      </c>
      <c r="C6" t="s">
        <v>20</v>
      </c>
      <c r="D6">
        <v>1</v>
      </c>
      <c r="E6" t="str">
        <v>Tieng Anh tre em</v>
      </c>
      <c r="F6">
        <v>2000000</v>
      </c>
      <c r="G6">
        <f t="shared" si="0"/>
        <v>2000000</v>
      </c>
    </row>
    <row r="7" hidden="1" spans="1:7">
      <c r="A7" t="s">
        <v>21</v>
      </c>
      <c r="B7" t="s">
        <v>22</v>
      </c>
      <c r="C7" t="s">
        <v>9</v>
      </c>
      <c r="D7">
        <v>2</v>
      </c>
      <c r="E7" t="str">
        <v>Tieng Anh giao tiep</v>
      </c>
      <c r="F7">
        <v>2500000</v>
      </c>
      <c r="G7">
        <f t="shared" si="0"/>
        <v>5000000</v>
      </c>
    </row>
    <row r="8" hidden="1" spans="1:7">
      <c r="A8" t="s">
        <v>23</v>
      </c>
      <c r="B8" t="s">
        <v>24</v>
      </c>
      <c r="C8" t="s">
        <v>14</v>
      </c>
      <c r="D8">
        <v>2</v>
      </c>
      <c r="E8" t="str">
        <v>Tieng Nhat N5</v>
      </c>
      <c r="F8">
        <v>3500000</v>
      </c>
      <c r="G8">
        <f t="shared" si="0"/>
        <v>7000000</v>
      </c>
    </row>
    <row r="9" spans="1:7">
      <c r="A9" t="s">
        <v>25</v>
      </c>
      <c r="B9" t="s">
        <v>26</v>
      </c>
      <c r="C9" t="s">
        <v>14</v>
      </c>
      <c r="D9">
        <v>4</v>
      </c>
      <c r="E9" t="str">
        <v>Tieng Nhat N5</v>
      </c>
      <c r="F9">
        <v>3500000</v>
      </c>
      <c r="G9">
        <f t="shared" si="0"/>
        <v>14000000</v>
      </c>
    </row>
    <row r="10" spans="1:7">
      <c r="A10" t="s">
        <v>27</v>
      </c>
      <c r="B10" t="s">
        <v>28</v>
      </c>
      <c r="C10" t="s">
        <v>29</v>
      </c>
      <c r="D10">
        <v>4</v>
      </c>
      <c r="E10" t="str">
        <v>IELTS nen tang</v>
      </c>
      <c r="F10">
        <v>4500000</v>
      </c>
      <c r="G10">
        <f t="shared" si="0"/>
        <v>18000000</v>
      </c>
    </row>
    <row r="11" hidden="1" spans="1:7">
      <c r="A11" t="s">
        <v>30</v>
      </c>
      <c r="B11" t="s">
        <v>31</v>
      </c>
      <c r="C11" t="s">
        <v>17</v>
      </c>
      <c r="D11">
        <v>2</v>
      </c>
      <c r="E11" t="str">
        <v>Tieng Han so cap</v>
      </c>
      <c r="F11">
        <v>3200000</v>
      </c>
      <c r="G11">
        <f t="shared" si="0"/>
        <v>6400000</v>
      </c>
    </row>
    <row r="12" hidden="1" spans="1:7">
      <c r="A12" t="s">
        <v>32</v>
      </c>
      <c r="B12" t="s">
        <v>33</v>
      </c>
      <c r="C12" t="s">
        <v>34</v>
      </c>
      <c r="D12">
        <v>3</v>
      </c>
      <c r="E12" t="str">
        <v>Tieng Trung HSK1</v>
      </c>
      <c r="F12">
        <v>2800000</v>
      </c>
      <c r="G12">
        <f t="shared" si="0"/>
        <v>8400000</v>
      </c>
    </row>
    <row r="13" spans="1:7">
      <c r="A13" t="s">
        <v>35</v>
      </c>
      <c r="B13" t="s">
        <v>36</v>
      </c>
      <c r="C13" t="s">
        <v>29</v>
      </c>
      <c r="D13">
        <v>2</v>
      </c>
      <c r="E13" t="str">
        <v>IELTS nen tang</v>
      </c>
      <c r="F13">
        <v>4500000</v>
      </c>
      <c r="G13">
        <f t="shared" si="0"/>
        <v>9000000</v>
      </c>
    </row>
    <row r="14" spans="1:7">
      <c r="A14" t="s">
        <v>37</v>
      </c>
      <c r="B14" t="s">
        <v>38</v>
      </c>
      <c r="C14" t="s">
        <v>17</v>
      </c>
      <c r="D14">
        <v>4</v>
      </c>
      <c r="E14" t="str">
        <v>Tieng Han so cap</v>
      </c>
      <c r="F14">
        <v>3200000</v>
      </c>
      <c r="G14">
        <f t="shared" si="0"/>
        <v>12800000</v>
      </c>
    </row>
    <row r="15" spans="1:7">
      <c r="A15" t="s">
        <v>39</v>
      </c>
      <c r="B15" t="s">
        <v>40</v>
      </c>
      <c r="C15" t="s">
        <v>41</v>
      </c>
      <c r="D15">
        <v>5</v>
      </c>
      <c r="E15" t="str">
        <v>TOEIC 550</v>
      </c>
      <c r="F15">
        <v>3000000</v>
      </c>
      <c r="G15">
        <f t="shared" si="0"/>
        <v>15000000</v>
      </c>
    </row>
    <row r="16" hidden="1" spans="1:7">
      <c r="A16" t="s">
        <v>42</v>
      </c>
      <c r="B16" t="s">
        <v>43</v>
      </c>
      <c r="C16" t="s">
        <v>29</v>
      </c>
      <c r="D16">
        <v>1</v>
      </c>
      <c r="E16" t="str">
        <v>IELTS nen tang</v>
      </c>
      <c r="F16">
        <v>4500000</v>
      </c>
      <c r="G16">
        <f t="shared" si="0"/>
        <v>4500000</v>
      </c>
    </row>
  </sheetData>
  <autoFilter xmlns:etc="http://www.wps.cn/officeDocument/2017/etCustomData" ref="A1:G16" etc:filterBottomFollowUsedRange="0">
    <filterColumn colId="6">
      <customFilters>
        <customFilter operator="greaterThanOrEqual" val="9000000"/>
      </customFilters>
    </filterColumn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"/>
  <sheetViews>
    <sheetView workbookViewId="0">
      <selection activeCell="A1" sqref="A1"/>
    </sheetView>
  </sheetViews>
  <sheetFormatPr defaultColWidth="9" defaultRowHeight="16.8" outlineLevelRow="7" outlineLevelCol="2"/>
  <cols>
    <col min="1" max="7" width="15" customWidth="1"/>
  </cols>
  <sheetData>
    <row r="1" spans="1:3">
      <c r="A1" t="s">
        <v>2</v>
      </c>
      <c r="B1" t="s">
        <v>4</v>
      </c>
      <c r="C1" t="s">
        <v>5</v>
      </c>
    </row>
    <row r="2" spans="1:3">
      <c r="A2" t="s">
        <v>9</v>
      </c>
      <c r="B2" t="s">
        <v>44</v>
      </c>
      <c r="C2">
        <v>2500000</v>
      </c>
    </row>
    <row r="3" spans="1:3">
      <c r="A3" t="s">
        <v>29</v>
      </c>
      <c r="B3" t="s">
        <v>45</v>
      </c>
      <c r="C3">
        <v>4500000</v>
      </c>
    </row>
    <row r="4" spans="1:3">
      <c r="A4" t="s">
        <v>41</v>
      </c>
      <c r="B4" t="s">
        <v>46</v>
      </c>
      <c r="C4">
        <v>3000000</v>
      </c>
    </row>
    <row r="5" spans="1:3">
      <c r="A5" t="s">
        <v>14</v>
      </c>
      <c r="B5" t="s">
        <v>47</v>
      </c>
      <c r="C5">
        <v>3500000</v>
      </c>
    </row>
    <row r="6" spans="1:3">
      <c r="A6" t="s">
        <v>17</v>
      </c>
      <c r="B6" t="s">
        <v>48</v>
      </c>
      <c r="C6">
        <v>3200000</v>
      </c>
    </row>
    <row r="7" spans="1:3">
      <c r="A7" t="s">
        <v>34</v>
      </c>
      <c r="B7" t="s">
        <v>49</v>
      </c>
      <c r="C7">
        <v>2800000</v>
      </c>
    </row>
    <row r="8" spans="1:3">
      <c r="A8" t="s">
        <v>20</v>
      </c>
      <c r="B8" t="s">
        <v>50</v>
      </c>
      <c r="C8">
        <v>2000000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DangKyHoc</vt:lpstr>
      <vt:lpstr>KhoaHoc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TOOL ATM</cp:lastModifiedBy>
  <dcterms:created xsi:type="dcterms:W3CDTF">2026-10-27T09:31:00Z</dcterms:created>
  <dcterms:modified xsi:type="dcterms:W3CDTF">2026-10-28T08:43:22Z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D77E76EF43D85FB73A53E16AAED7E718_42</vt:lpwstr>
  </property>
  <property fmtid="{D5CDD505-2E9C-101B-9397-08002B2CF9AE}" pid="3" name="KSOProductBuildVer">
    <vt:lpwstr>1066-12.1.29182.29182</vt:lpwstr>
  </property>
  <property fmtid="{D5CDD505-2E9C-101B-9397-08002B2CF9AE}" pid="4" name="CalculationRule">
    <vt:i4>0</vt:i4>
  </property>
</Properties>
</file>